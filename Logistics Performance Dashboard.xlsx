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620" windowHeight="12540" activeTab="1"/>
  </bookViews>
  <sheets>
    <sheet name="SQL_Data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<sst xmlns="http://schemas.openxmlformats.org/spreadsheetml/2006/main" count="19" uniqueCount="19">
  <si>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Carrier name</t>
  </si>
  <si>
    <t>Delivered orders</t>
  </si>
  <si>
    <t>Avg cost usd</t>
  </si>
  <si>
    <t>On time rate</t>
  </si>
  <si>
    <t>Avg delivery days</t>
  </si>
  <si>
    <t>Carrier A</t>
  </si>
  <si>
    <t>Carrier B</t>
  </si>
  <si>
    <t>Carrier C</t>
  </si>
  <si>
    <t>Logistics Performance Dashboard</t>
  </si>
  <si>
    <t>SQL &amp; Excel | Carrier Performance Analysis</t>
  </si>
  <si>
    <t>Delivered Orders</t>
  </si>
  <si>
    <t>On-Time Rate</t>
  </si>
  <si>
    <t>Avg Delivery Days</t>
  </si>
  <si>
    <t>Key Findings &amp; Insights</t>
  </si>
  <si>
    <t>1. Lowest Shipping Cost: Carrier B has the lowest average shipping cost at $9.75 per order.</t>
  </si>
  <si>
    <t>2. Best On-Time Performance: Carrier C has the highest on-time delivery rate at 100%.</t>
  </si>
  <si>
    <t>3. Fastest Delivery: Carrier C has the shortest average delivery time at 2 days.</t>
  </si>
  <si>
    <t>4. Cost vs. Performance: Carrier B has the lowest cost, while Carrier C has the best delivery speed and on-time performance in this sample.</t>
  </si>
  <si>
    <t>Data Source &amp; Project Information
Data Source: Synthetic logistics dataset created for SQL and Excel practice.
Sample Size: 6 delivered orders across 3 carriers.
Tools Used: SQLite, DB Browser for SQLite, WPS Spreadsheet.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</si>
</sst>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5">
    <font>
      <sz val="11"/>
      <color theme="1"/>
      <name val="Calibri"/>
      <charset val="134"/>
      <scheme val="minor"/>
    </font>
    <font>
      <b/>
      <sz val="20"/>
      <color theme="3"/>
      <name val="Arial Regular"/>
      <charset val="134"/>
    </font>
    <font>
      <sz val="11"/>
      <color theme="1" tint="0.5"/>
      <name val="Arial Regular"/>
      <charset val="134"/>
    </font>
    <font>
      <b/>
      <sz val="12"/>
      <color theme="1"/>
      <name val="Calibri"/>
      <charset val="134"/>
      <scheme val="minor"/>
    </font>
    <font>
      <b/>
      <sz val="22"/>
      <color theme="3"/>
      <name val="Calibri"/>
      <charset val="134"/>
      <scheme val="minor"/>
    </font>
    <font>
      <sz val="10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  <xf numFmtId="178" fontId="4" fillId="2" borderId="0" xfId="3" applyNumberFormat="1" applyFont="1" applyFill="1">
      <alignment vertical="center"/>
    </xf>
    <xf numFmtId="176" fontId="4" fillId="2" borderId="0" xfId="1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9" fontId="5" fillId="3" borderId="1" xfId="3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Shipping Cost by Carrier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SQL_Data!$C$1</c:f>
              <c:strCache>
                <c:ptCount val="1"/>
                <c:pt idx="0">
                  <c:v>Avg cost 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SQL_Data!$A$2:$A$4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SQL_Data!$C$2:$C$4</c:f>
              <c:numCache>
                <c:formatCode>General</c:formatCode>
                <c:ptCount val="3"/>
                <c:pt idx="0">
                  <c:v>13.75</c:v>
                </c:pt>
                <c:pt idx="1">
                  <c:v>9.75</c:v>
                </c:pt>
                <c:pt idx="2">
                  <c:v>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0960040"/>
        <c:axId val="28461113"/>
      </c:barChart>
      <c:catAx>
        <c:axId val="50960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461113"/>
        <c:crosses val="autoZero"/>
        <c:auto val="1"/>
        <c:lblAlgn val="ctr"/>
        <c:lblOffset val="100"/>
        <c:noMultiLvlLbl val="0"/>
      </c:catAx>
      <c:valAx>
        <c:axId val="284611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96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3bd893-e046-4a63-a2f3-9e8123af22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On-Time Delivery Rate by Carrier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SQL_Data!$D$1</c:f>
              <c:strCache>
                <c:ptCount val="1"/>
                <c:pt idx="0">
                  <c:v>On time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SQL_Data!$A$2:$A$4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SQL_Data!$D$2:$D$4</c:f>
              <c:numCache>
                <c:formatCode>0%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24178896"/>
        <c:axId val="465886192"/>
      </c:barChart>
      <c:dateAx>
        <c:axId val="224178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886192"/>
        <c:crosses val="autoZero"/>
        <c:auto val="1"/>
        <c:lblAlgn val="ctr"/>
        <c:lblOffset val="100"/>
        <c:baseTimeUnit val="days"/>
      </c:dateAx>
      <c:valAx>
        <c:axId val="4658861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417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6f609c-3ce9-43c6-a527-22372bd4d5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Delivery Time by Carrier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SQL_Data!$E$1</c:f>
              <c:strCache>
                <c:ptCount val="1"/>
                <c:pt idx="0">
                  <c:v>Avg delivery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SQL_Data!$A$2:$A$4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SQL_Data!$E$2:$E$4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44384525"/>
        <c:axId val="99600246"/>
      </c:barChart>
      <c:catAx>
        <c:axId val="1443845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600246"/>
        <c:crosses val="autoZero"/>
        <c:auto val="1"/>
        <c:lblAlgn val="ctr"/>
        <c:lblOffset val="100"/>
        <c:noMultiLvlLbl val="0"/>
      </c:catAx>
      <c:valAx>
        <c:axId val="996002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3845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be411b-4e11-48db-b0ea-5fe0160cdd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7</xdr:row>
      <xdr:rowOff>22860</xdr:rowOff>
    </xdr:from>
    <xdr:to>
      <xdr:col>5</xdr:col>
      <xdr:colOff>20320</xdr:colOff>
      <xdr:row>16</xdr:row>
      <xdr:rowOff>29210</xdr:rowOff>
    </xdr:to>
    <xdr:graphicFrame>
      <xdr:nvGraphicFramePr>
        <xdr:cNvPr id="2" name="Chart 1"/>
        <xdr:cNvGraphicFramePr/>
      </xdr:nvGraphicFramePr>
      <xdr:xfrm>
        <a:off x="731520" y="2037080"/>
        <a:ext cx="3246120" cy="1926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6</xdr:row>
      <xdr:rowOff>210820</xdr:rowOff>
    </xdr:from>
    <xdr:to>
      <xdr:col>8</xdr:col>
      <xdr:colOff>731520</xdr:colOff>
      <xdr:row>16</xdr:row>
      <xdr:rowOff>26035</xdr:rowOff>
    </xdr:to>
    <xdr:graphicFrame>
      <xdr:nvGraphicFramePr>
        <xdr:cNvPr id="3" name="Chart 2"/>
        <xdr:cNvGraphicFramePr/>
      </xdr:nvGraphicFramePr>
      <xdr:xfrm>
        <a:off x="3972560" y="2011680"/>
        <a:ext cx="3307080" cy="1948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</xdr:colOff>
      <xdr:row>15</xdr:row>
      <xdr:rowOff>200660</xdr:rowOff>
    </xdr:from>
    <xdr:to>
      <xdr:col>8</xdr:col>
      <xdr:colOff>731520</xdr:colOff>
      <xdr:row>29</xdr:row>
      <xdr:rowOff>174625</xdr:rowOff>
    </xdr:to>
    <xdr:graphicFrame>
      <xdr:nvGraphicFramePr>
        <xdr:cNvPr id="4" name="Chart 3"/>
        <xdr:cNvGraphicFramePr/>
      </xdr:nvGraphicFramePr>
      <xdr:xfrm>
        <a:off x="732790" y="3921760"/>
        <a:ext cx="6546850" cy="2961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opLeftCell="A31" workbookViewId="0">
      <selection activeCell="G42" sqref="G42"/>
    </sheetView>
  </sheetViews>
  <sheetFormatPr defaultColWidth="9" defaultRowHeight="16.8" outlineLevelRow="3" outlineLevelCol="4"/>
  <cols>
    <col min="1" max="5" width="13.921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3" t="s">
        <v>5</v>
      </c>
      <c r="B2" s="13">
        <v>2</v>
      </c>
      <c r="C2" s="13">
        <v>13.75</v>
      </c>
      <c r="D2" s="14">
        <v>0.5</v>
      </c>
      <c r="E2" s="13">
        <v>3</v>
      </c>
    </row>
    <row r="3" spans="1:5">
      <c r="A3" s="13" t="s">
        <v>6</v>
      </c>
      <c r="B3" s="13">
        <v>2</v>
      </c>
      <c r="C3" s="13">
        <v>9.75</v>
      </c>
      <c r="D3" s="14">
        <v>0.5</v>
      </c>
      <c r="E3" s="13">
        <v>3</v>
      </c>
    </row>
    <row r="4" spans="1:5">
      <c r="A4" s="13" t="s">
        <v>7</v>
      </c>
      <c r="B4" s="13">
        <v>2</v>
      </c>
      <c r="C4" s="13">
        <v>16</v>
      </c>
      <c r="D4" s="14">
        <v>1</v>
      </c>
      <c r="E4" s="13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51"/>
  <sheetViews>
    <sheetView showGridLines="0" tabSelected="1" zoomScale="45" zoomScaleNormal="45" workbookViewId="0">
      <selection activeCell="P5" sqref="P5"/>
    </sheetView>
  </sheetViews>
  <sheetFormatPr defaultColWidth="9" defaultRowHeight="16.8"/>
  <cols>
    <col min="5" max="5" width="12.6875"/>
    <col min="8" max="8" width="13.875"/>
  </cols>
  <sheetData>
    <row r="2" ht="28.8" spans="2:9">
      <c r="B2" s="1" t="s">
        <v>8</v>
      </c>
      <c r="C2" s="2"/>
      <c r="D2" s="2"/>
      <c r="E2" s="2"/>
      <c r="F2" s="2"/>
      <c r="G2" s="2"/>
      <c r="H2" s="2"/>
      <c r="I2" s="2"/>
    </row>
    <row r="3" spans="2:9">
      <c r="B3" s="3" t="s">
        <v>9</v>
      </c>
      <c r="C3" s="4"/>
      <c r="D3" s="4"/>
      <c r="E3" s="4"/>
      <c r="F3" s="4"/>
      <c r="G3" s="4"/>
      <c r="H3" s="4"/>
      <c r="I3" s="4"/>
    </row>
    <row r="5" ht="17.6" spans="2:9">
      <c r="B5" s="5" t="s">
        <v>10</v>
      </c>
      <c r="C5" s="6"/>
      <c r="E5" s="5" t="s">
        <v>11</v>
      </c>
      <c r="F5" s="6"/>
      <c r="H5" s="5" t="s">
        <v>12</v>
      </c>
      <c r="I5" s="6"/>
    </row>
    <row r="6" ht="45" customHeight="1" spans="2:9">
      <c r="B6" s="7">
        <f>SUM(SQL_Data!B2:B4)</f>
        <v>6</v>
      </c>
      <c r="C6" s="6"/>
      <c r="E6" s="8" cm="1">
        <f t="array" ref="E6">SUMPRODUCT(SQL_Data!B2:B4,SQL_Data!D2:D4)/SUM(SQL_Data!B2:B4)</f>
        <v>0.666666666666667</v>
      </c>
      <c r="F6" s="6"/>
      <c r="H6" s="9" cm="1">
        <f t="array" ref="H6">SUMPRODUCT(SQL_Data!B2:B4,SQL_Data!E2:E4)/SUM(SQL_Data!B2:B4)</f>
        <v>2.66666666666667</v>
      </c>
      <c r="I6" s="6"/>
    </row>
    <row r="7" spans="2:9">
      <c r="B7" s="6"/>
      <c r="C7" s="6"/>
      <c r="E7" s="6"/>
      <c r="F7" s="6"/>
      <c r="H7" s="6"/>
      <c r="I7" s="6"/>
    </row>
    <row r="31" spans="2:9">
      <c r="B31" s="10" t="s">
        <v>13</v>
      </c>
      <c r="C31" s="10"/>
      <c r="D31" s="10"/>
      <c r="E31" s="10"/>
      <c r="F31" s="10"/>
      <c r="G31" s="10"/>
      <c r="H31" s="10"/>
      <c r="I31" s="10"/>
    </row>
    <row r="32" spans="2:9">
      <c r="B32" s="11" t="s">
        <v>14</v>
      </c>
      <c r="C32" s="11"/>
      <c r="D32" s="11"/>
      <c r="E32" s="11"/>
      <c r="F32" s="11"/>
      <c r="G32" s="11"/>
      <c r="H32" s="11"/>
      <c r="I32" s="11"/>
    </row>
    <row r="33" spans="2:9">
      <c r="B33" s="11"/>
      <c r="C33" s="11"/>
      <c r="D33" s="11"/>
      <c r="E33" s="11"/>
      <c r="F33" s="11"/>
      <c r="G33" s="11"/>
      <c r="H33" s="11"/>
      <c r="I33" s="11"/>
    </row>
    <row r="34" spans="2:9">
      <c r="B34" s="12" t="s">
        <v>15</v>
      </c>
      <c r="C34" s="12"/>
      <c r="D34" s="12"/>
      <c r="E34" s="12"/>
      <c r="F34" s="12"/>
      <c r="G34" s="12"/>
      <c r="H34" s="12"/>
      <c r="I34" s="12"/>
    </row>
    <row r="35" spans="2:9">
      <c r="B35" s="12"/>
      <c r="C35" s="12"/>
      <c r="D35" s="12"/>
      <c r="E35" s="12"/>
      <c r="F35" s="12"/>
      <c r="G35" s="12"/>
      <c r="H35" s="12"/>
      <c r="I35" s="12"/>
    </row>
    <row r="36" spans="2:9">
      <c r="B36" s="12" t="s">
        <v>16</v>
      </c>
      <c r="C36" s="12"/>
      <c r="D36" s="12"/>
      <c r="E36" s="12"/>
      <c r="F36" s="12"/>
      <c r="G36" s="12"/>
      <c r="H36" s="12"/>
      <c r="I36" s="12"/>
    </row>
    <row r="37" spans="2:9">
      <c r="B37" s="12"/>
      <c r="C37" s="12"/>
      <c r="D37" s="12"/>
      <c r="E37" s="12"/>
      <c r="F37" s="12"/>
      <c r="G37" s="12"/>
      <c r="H37" s="12"/>
      <c r="I37" s="12"/>
    </row>
    <row r="38" spans="2:9">
      <c r="B38" s="11" t="s">
        <v>17</v>
      </c>
      <c r="C38" s="11"/>
      <c r="D38" s="11"/>
      <c r="E38" s="11"/>
      <c r="F38" s="11"/>
      <c r="G38" s="11"/>
      <c r="H38" s="11"/>
      <c r="I38" s="11"/>
    </row>
    <row r="39" spans="2:9">
      <c r="B39" s="11"/>
      <c r="C39" s="11"/>
      <c r="D39" s="11"/>
      <c r="E39" s="11"/>
      <c r="F39" s="11"/>
      <c r="G39" s="11"/>
      <c r="H39" s="11"/>
      <c r="I39" s="11"/>
    </row>
    <row r="40" spans="2:9">
      <c r="B40" s="11"/>
      <c r="C40" s="11"/>
      <c r="D40" s="11"/>
      <c r="E40" s="11"/>
      <c r="F40" s="11"/>
      <c r="G40" s="11"/>
      <c r="H40" s="11"/>
      <c r="I40" s="11"/>
    </row>
    <row r="43" spans="2:9">
      <c r="B43" s="11" t="s">
        <v>18</v>
      </c>
      <c r="C43" s="11"/>
      <c r="D43" s="11"/>
      <c r="E43" s="11"/>
      <c r="F43" s="11"/>
      <c r="G43" s="11"/>
      <c r="H43" s="11"/>
      <c r="I43" s="11"/>
    </row>
    <row r="44" spans="2:9">
      <c r="B44" s="11"/>
      <c r="C44" s="11"/>
      <c r="D44" s="11"/>
      <c r="E44" s="11"/>
      <c r="F44" s="11"/>
      <c r="G44" s="11"/>
      <c r="H44" s="11"/>
      <c r="I44" s="11"/>
    </row>
    <row r="45" spans="2:9">
      <c r="B45" s="11"/>
      <c r="C45" s="11"/>
      <c r="D45" s="11"/>
      <c r="E45" s="11"/>
      <c r="F45" s="11"/>
      <c r="G45" s="11"/>
      <c r="H45" s="11"/>
      <c r="I45" s="11"/>
    </row>
    <row r="46" spans="2:9">
      <c r="B46" s="11"/>
      <c r="C46" s="11"/>
      <c r="D46" s="11"/>
      <c r="E46" s="11"/>
      <c r="F46" s="11"/>
      <c r="G46" s="11"/>
      <c r="H46" s="11"/>
      <c r="I46" s="11"/>
    </row>
    <row r="47" spans="2:9">
      <c r="B47" s="11"/>
      <c r="C47" s="11"/>
      <c r="D47" s="11"/>
      <c r="E47" s="11"/>
      <c r="F47" s="11"/>
      <c r="G47" s="11"/>
      <c r="H47" s="11"/>
      <c r="I47" s="11"/>
    </row>
    <row r="48" spans="2:9">
      <c r="B48" s="11"/>
      <c r="C48" s="11"/>
      <c r="D48" s="11"/>
      <c r="E48" s="11"/>
      <c r="F48" s="11"/>
      <c r="G48" s="11"/>
      <c r="H48" s="11"/>
      <c r="I48" s="11"/>
    </row>
    <row r="49" spans="2:9">
      <c r="B49" s="11"/>
      <c r="C49" s="11"/>
      <c r="D49" s="11"/>
      <c r="E49" s="11"/>
      <c r="F49" s="11"/>
      <c r="G49" s="11"/>
      <c r="H49" s="11"/>
      <c r="I49" s="11"/>
    </row>
    <row r="50" spans="2:9">
      <c r="B50" s="11"/>
      <c r="C50" s="11"/>
      <c r="D50" s="11"/>
      <c r="E50" s="11"/>
      <c r="F50" s="11"/>
      <c r="G50" s="11"/>
      <c r="H50" s="11"/>
      <c r="I50" s="11"/>
    </row>
    <row r="51" spans="2:9">
      <c r="B51" s="11"/>
      <c r="C51" s="11"/>
      <c r="D51" s="11"/>
      <c r="E51" s="11"/>
      <c r="F51" s="11"/>
      <c r="G51" s="11"/>
      <c r="H51" s="11"/>
      <c r="I51" s="11"/>
    </row>
  </sheetData>
  <mergeCells count="8">
    <mergeCell ref="B2:I2"/>
    <mergeCell ref="B3:I3"/>
    <mergeCell ref="B31:I31"/>
    <mergeCell ref="B32:I33"/>
    <mergeCell ref="B34:I35"/>
    <mergeCell ref="B36:I37"/>
    <mergeCell ref="B38:I40"/>
    <mergeCell ref="B43:I5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SQL_Data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</dc:creator>
  <cp:lastModifiedBy>xiang</cp:lastModifiedBy>
  <dcterms:created xsi:type="dcterms:W3CDTF">2026-10-16T10:35:27Z</dcterms:created>
  <dcterms:modified xsi:type="dcterms:W3CDTF">2026-10-20T13:49:05Z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B0A19B6AB592E2165F60D26A6C805CBC_41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1</vt:i4>
  </property>
</Properties>
</file>